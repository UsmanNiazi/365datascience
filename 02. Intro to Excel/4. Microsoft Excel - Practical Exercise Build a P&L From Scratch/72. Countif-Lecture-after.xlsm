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59FCC31C-7D3C-43C2-A5B2-BC504ED8DFE7}" xr6:coauthVersionLast="40" xr6:coauthVersionMax="40" xr10:uidLastSave="{00000000-0000-0000-0000-000000000000}"/>
  <bookViews>
    <workbookView xWindow="-108" yWindow="-108" windowWidth="23256" windowHeight="131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26" i="21" s="1"/>
  <c r="F60" i="10"/>
  <c r="C26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E26" i="21" l="1"/>
  <c r="C16" i="21"/>
  <c r="C11" i="21"/>
  <c r="C21" i="21"/>
  <c r="E20" i="21"/>
  <c r="E23" i="21"/>
  <c r="C18" i="21"/>
  <c r="C13" i="21"/>
  <c r="E15" i="21"/>
  <c r="D15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7" i="21" s="1"/>
  <c r="D17" i="21"/>
  <c r="D19" i="21" s="1"/>
  <c r="D22" i="21" s="1"/>
  <c r="D24" i="21" s="1"/>
  <c r="D27" i="21" s="1"/>
  <c r="E17" i="21"/>
  <c r="E19" i="21" s="1"/>
  <c r="E22" i="21" s="1"/>
  <c r="E24" i="21" s="1"/>
  <c r="E27" i="21" s="1"/>
</calcChain>
</file>

<file path=xl/sharedStrings.xml><?xml version="1.0" encoding="utf-8"?>
<sst xmlns="http://schemas.openxmlformats.org/spreadsheetml/2006/main" count="958" uniqueCount="247">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</sst>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workbookViewId="0">
      <selection activeCell="F21" sqref="F2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2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K109" s="2" t="s">
        <v>224</v>
      </c>
      <c r="L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1"/>
  <sheetViews>
    <sheetView tabSelected="1" zoomScale="130" zoomScaleNormal="130" workbookViewId="0">
      <selection activeCell="G25" sqref="G25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</row>
    <row r="5" spans="2:5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</row>
    <row r="6" spans="2:5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</row>
    <row r="7" spans="2:5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</row>
    <row r="8" spans="2:5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</row>
    <row r="9" spans="2:5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</row>
    <row r="10" spans="2:5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</row>
    <row r="11" spans="2:5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</row>
    <row r="12" spans="2:5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</row>
    <row r="13" spans="2:5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</row>
    <row r="14" spans="2:5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</row>
    <row r="15" spans="2:5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</row>
    <row r="16" spans="2:5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</row>
    <row r="17" spans="2:7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</row>
    <row r="18" spans="2:7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</row>
    <row r="19" spans="2:7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</row>
    <row r="20" spans="2:7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</row>
    <row r="21" spans="2:7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</row>
    <row r="22" spans="2:7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</row>
    <row r="23" spans="2:7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</row>
    <row r="24" spans="2:7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</row>
    <row r="26" spans="2:7" x14ac:dyDescent="0.2">
      <c r="B26" s="38" t="s">
        <v>245</v>
      </c>
      <c r="C26" s="38">
        <f>SUMIF('2.1 Database'!$J:$J,'2.2 P&amp;L statement'!$B26,'2.1 Database'!F:F)/1000000</f>
        <v>-2.9041179939999986</v>
      </c>
      <c r="D26" s="38">
        <f>SUMIF('2.1 Database'!$J:$J,'2.2 P&amp;L statement'!$B26,'2.1 Database'!G:G)/1000000</f>
        <v>6.0738081600000005</v>
      </c>
      <c r="E26" s="38">
        <f>SUMIF('2.1 Database'!$J:$J,'2.2 P&amp;L statement'!$B26,'2.1 Database'!H:H)/1000000</f>
        <v>-0.77929047600000001</v>
      </c>
      <c r="F26" s="38"/>
      <c r="G26" s="38"/>
    </row>
    <row r="27" spans="2:7" x14ac:dyDescent="0.2">
      <c r="B27" s="42" t="s">
        <v>246</v>
      </c>
      <c r="C27" s="42">
        <f>ROUND(C24+C26,9)</f>
        <v>0</v>
      </c>
      <c r="D27" s="42">
        <f>D24+D26</f>
        <v>0</v>
      </c>
      <c r="E27" s="42">
        <f>E24+E26</f>
        <v>0</v>
      </c>
      <c r="F27" s="38"/>
      <c r="G27" s="38"/>
    </row>
    <row r="28" spans="2:7" x14ac:dyDescent="0.2">
      <c r="B28" s="38"/>
      <c r="C28" s="38"/>
      <c r="D28" s="38"/>
      <c r="E28" s="38"/>
      <c r="F28" s="38"/>
      <c r="G28" s="38"/>
    </row>
    <row r="29" spans="2:7" x14ac:dyDescent="0.2">
      <c r="B29" s="38"/>
      <c r="C29" s="38"/>
      <c r="D29" s="38"/>
      <c r="E29" s="38"/>
      <c r="F29" s="38"/>
      <c r="G29" s="38"/>
    </row>
    <row r="30" spans="2:7" x14ac:dyDescent="0.2">
      <c r="B30" s="38"/>
      <c r="C30" s="38"/>
      <c r="D30" s="38"/>
      <c r="E30" s="38"/>
      <c r="F30" s="38"/>
      <c r="G30" s="38"/>
    </row>
    <row r="31" spans="2:7" x14ac:dyDescent="0.2">
      <c r="C31" s="38"/>
      <c r="D31" s="38"/>
      <c r="E31" s="38"/>
      <c r="F31" s="38"/>
      <c r="G31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2019-02-05T15:46:25Z</dcterms:modified>
</cp:coreProperties>
</file>