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8_{18F87249-3039-40C9-9E9A-7F9688A483B7}" xr6:coauthVersionLast="40" xr6:coauthVersionMax="40" xr10:uidLastSave="{00000000-0000-0000-0000-000000000000}"/>
  <bookViews>
    <workbookView xWindow="-108" yWindow="-108" windowWidth="23256" windowHeight="1317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9" i="21" l="1"/>
  <c r="D29" i="21"/>
  <c r="E28" i="21"/>
  <c r="D28" i="21"/>
  <c r="C29" i="21"/>
  <c r="C28" i="21"/>
  <c r="E27" i="21"/>
  <c r="D27" i="21"/>
  <c r="C27" i="21"/>
  <c r="H24" i="2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H4" i="21"/>
  <c r="G4" i="21"/>
  <c r="L108" i="10" l="1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E13" i="21" s="1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E18" i="21" s="1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D23" i="21" s="1"/>
  <c r="G56" i="10"/>
  <c r="G55" i="10"/>
  <c r="D21" i="21" s="1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E30" i="21" l="1"/>
  <c r="C16" i="21"/>
  <c r="C11" i="21"/>
  <c r="C21" i="21"/>
  <c r="E20" i="21"/>
  <c r="E23" i="21"/>
  <c r="C18" i="21"/>
  <c r="C13" i="21"/>
  <c r="E15" i="21"/>
  <c r="D15" i="21"/>
  <c r="E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C31" i="21" s="1"/>
  <c r="D17" i="21"/>
  <c r="D19" i="21" s="1"/>
  <c r="D22" i="21" s="1"/>
  <c r="D24" i="21" s="1"/>
  <c r="D31" i="21" s="1"/>
  <c r="E17" i="21"/>
  <c r="E19" i="21" s="1"/>
  <c r="E22" i="21" s="1"/>
  <c r="E24" i="21" s="1"/>
  <c r="E31" i="21" s="1"/>
</calcChain>
</file>

<file path=xl/sharedStrings.xml><?xml version="1.0" encoding="utf-8"?>
<sst xmlns="http://schemas.openxmlformats.org/spreadsheetml/2006/main" count="966" uniqueCount="255">
  <si>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</si>
  <si>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</si>
  <si>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</si>
  <si>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</si>
  <si>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</si>
  <si>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</si>
  <si>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</si>
  <si>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</si>
  <si>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</si>
  <si>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</si>
  <si>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</si>
  <si>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</si>
  <si>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</si>
  <si>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</si>
  <si>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</si>
  <si>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</si>
  <si>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</si>
  <si>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</si>
  <si>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</si>
  <si>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</si>
  <si>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</si>
  <si>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</si>
  <si>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</si>
  <si>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</si>
  <si>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</si>
  <si>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</si>
  <si>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</si>
  <si>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</si>
  <si>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</si>
  <si>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</si>
  <si>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</si>
  <si>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</si>
  <si>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</si>
  <si>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</si>
  <si>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</si>
  <si>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</si>
  <si>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</si>
  <si>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</si>
  <si>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</si>
  <si>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</si>
  <si>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</si>
  <si>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</si>
  <si>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</si>
  <si>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</si>
  <si>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</si>
  <si>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</si>
  <si>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</si>
  <si>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</si>
  <si>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</si>
  <si>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</si>
  <si>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</si>
  <si>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</si>
  <si>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</si>
  <si>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</si>
  <si>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</si>
  <si>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</si>
  <si>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</si>
  <si>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</si>
  <si>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</si>
  <si>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</si>
  <si>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</si>
  <si>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</si>
  <si>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</si>
  <si>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</si>
  <si>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</si>
  <si>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</si>
  <si>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</si>
  <si>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</si>
  <si>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</si>
  <si>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</si>
  <si>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</si>
  <si>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</si>
  <si>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</si>
  <si>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</si>
  <si>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</si>
  <si>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</si>
  <si>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</si>
  <si>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</si>
  <si>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</si>
  <si>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</si>
  <si>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</si>
  <si>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</si>
  <si>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</si>
  <si>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</si>
  <si>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</si>
  <si>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</si>
  <si>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</si>
  <si>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</si>
  <si>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</si>
  <si>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</si>
  <si>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</si>
  <si>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</si>
  <si>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</si>
  <si>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</si>
  <si>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</si>
  <si>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</si>
  <si>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</si>
  <si>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</si>
  <si>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</si>
  <si>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</si>
  <si>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</si>
  <si>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</si>
  <si>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</si>
  <si>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</si>
  <si>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</si>
  <si>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</si>
  <si>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</si>
  <si>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</si>
  <si>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</si>
  <si>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</si>
  <si>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</si>
  <si>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</si>
  <si>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</si>
  <si>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</si>
  <si>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</si>
  <si>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</si>
  <si>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</si>
  <si>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</si>
  <si>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</si>
  <si>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</si>
  <si>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</si>
  <si>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</si>
  <si>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</si>
  <si>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</si>
  <si>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</si>
  <si>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</si>
  <si>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</si>
  <si>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</si>
  <si>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</si>
  <si>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</si>
  <si>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</si>
  <si>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</si>
  <si>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</si>
  <si>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</si>
  <si>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</si>
  <si>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</si>
  <si>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</si>
  <si>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</si>
  <si>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</si>
  <si>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</si>
  <si>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</si>
  <si>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</si>
  <si>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</si>
  <si>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</si>
  <si>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</si>
  <si>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</si>
  <si>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</si>
  <si>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</si>
  <si>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</si>
  <si>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</si>
  <si>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</si>
  <si>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</si>
  <si>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</si>
  <si>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</si>
  <si>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</si>
  <si>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</si>
  <si>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</si>
  <si>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</si>
  <si>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</si>
  <si>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</si>
  <si>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</si>
  <si>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</si>
  <si>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</si>
  <si>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</si>
  <si>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</si>
  <si>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</si>
  <si>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</si>
  <si>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</si>
  <si>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</si>
  <si>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</si>
  <si>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</si>
  <si>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</si>
  <si>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</si>
  <si>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</si>
  <si>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</si>
  <si>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</si>
  <si>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</si>
  <si>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</si>
  <si>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</si>
  <si>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</si>
  <si>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</si>
  <si>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</si>
  <si>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</si>
  <si>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</si>
  <si>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</si>
  <si>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</si>
  <si>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</si>
  <si>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</si>
  <si>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</si>
  <si>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</si>
  <si>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</si>
  <si>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</si>
  <si>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</si>
  <si>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</si>
  <si>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</si>
  <si>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</si>
  <si>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</si>
  <si>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</si>
  <si>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</si>
  <si>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</si>
  <si>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</si>
  <si>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</si>
  <si>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</si>
  <si>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</si>
  <si>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</si>
  <si>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</si>
  <si>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</si>
  <si>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</si>
  <si>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</si>
  <si>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</si>
  <si>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</si>
  <si>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</si>
  <si>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</si>
  <si>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</si>
  <si>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</si>
  <si>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</si>
  <si>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</si>
  <si>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</si>
  <si>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</si>
  <si>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</si>
  <si>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</si>
  <si>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</si>
  <si>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</si>
  <si>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</si>
  <si>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</si>
  <si>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</si>
  <si>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</si>
  <si>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</si>
  <si>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</si>
  <si>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</si>
  <si>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</si>
  <si>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</si>
  <si>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</si>
  <si>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</si>
  <si>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</si>
  <si>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</si>
  <si>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</si>
  <si>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</si>
  <si>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</si>
  <si>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</si>
  <si>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</si>
  <si>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</si>
  <si>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</si>
  <si>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</si>
  <si>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</si>
  <si>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</si>
  <si>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</si>
  <si>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Formula for calculating year-on-year % variations:</t>
  </si>
  <si>
    <t>Var%
FY16-FY17</t>
  </si>
  <si>
    <t>Var%
FY17-FY18</t>
  </si>
  <si>
    <t>IF(ISERROR((D4/C4)-1);"n.a.";IF(((D4/C4)-1)&gt;1;"&gt;100.0%";IF(((D4/C4)-1)&lt;-1;"&lt;-100.0%";((D4/C4)-1))))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</si>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</sst>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18" fillId="2" borderId="0" xfId="0" applyFont="1" applyFill="1" applyBorder="1"/>
    <xf numFmtId="0" fontId="24" fillId="5" borderId="0" xfId="0" applyFont="1" applyFill="1" applyBorder="1"/>
    <xf numFmtId="9" fontId="24" fillId="5" borderId="0" xfId="4" applyFont="1" applyFill="1" applyBorder="1"/>
    <xf numFmtId="0" fontId="24" fillId="5" borderId="0" xfId="0" applyFont="1" applyFill="1"/>
    <xf numFmtId="166" fontId="18" fillId="2" borderId="0" xfId="0" applyNumberFormat="1" applyFont="1" applyFill="1" applyBorder="1"/>
    <xf numFmtId="166" fontId="24" fillId="5" borderId="0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15"/>
  <sheetViews>
    <sheetView workbookViewId="0">
      <selection activeCell="F21" sqref="F2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2" ht="15.6" x14ac:dyDescent="0.3">
      <c r="B1" s="3" t="s">
        <v>56</v>
      </c>
    </row>
    <row r="3" spans="2:12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2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  <c r="L4" s="2">
        <f>COUNTIF('2.2 P&amp;L statement'!$B$4:$B$24,'2.1 Database'!J4)</f>
        <v>1</v>
      </c>
    </row>
    <row r="5" spans="2:12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  <c r="L5" s="2">
        <f>COUNTIF('2.2 P&amp;L statement'!$B$4:$B$24,'2.1 Database'!J5)</f>
        <v>1</v>
      </c>
    </row>
    <row r="6" spans="2:12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  <c r="L6" s="2">
        <f>COUNTIF('2.2 P&amp;L statement'!$B$4:$B$24,'2.1 Database'!J6)</f>
        <v>1</v>
      </c>
    </row>
    <row r="7" spans="2:12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  <c r="L7" s="2">
        <f>COUNTIF('2.2 P&amp;L statement'!$B$4:$B$24,'2.1 Database'!J7)</f>
        <v>1</v>
      </c>
    </row>
    <row r="8" spans="2:12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  <c r="L8" s="2">
        <f>COUNTIF('2.2 P&amp;L statement'!$B$4:$B$24,'2.1 Database'!J8)</f>
        <v>1</v>
      </c>
    </row>
    <row r="9" spans="2:12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  <c r="L9" s="2">
        <f>COUNTIF('2.2 P&amp;L statement'!$B$4:$B$24,'2.1 Database'!J9)</f>
        <v>1</v>
      </c>
    </row>
    <row r="10" spans="2:12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  <c r="L10" s="2">
        <f>COUNTIF('2.2 P&amp;L statement'!$B$4:$B$24,'2.1 Database'!J10)</f>
        <v>1</v>
      </c>
    </row>
    <row r="11" spans="2:12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  <c r="L11" s="2">
        <f>COUNTIF('2.2 P&amp;L statement'!$B$4:$B$24,'2.1 Database'!J11)</f>
        <v>1</v>
      </c>
    </row>
    <row r="12" spans="2:12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  <c r="L12" s="2">
        <f>COUNTIF('2.2 P&amp;L statement'!$B$4:$B$24,'2.1 Database'!J12)</f>
        <v>1</v>
      </c>
    </row>
    <row r="13" spans="2:12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  <c r="L13" s="2">
        <f>COUNTIF('2.2 P&amp;L statement'!$B$4:$B$24,'2.1 Database'!J13)</f>
        <v>1</v>
      </c>
    </row>
    <row r="14" spans="2:12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  <c r="L14" s="2">
        <f>COUNTIF('2.2 P&amp;L statement'!$B$4:$B$24,'2.1 Database'!J14)</f>
        <v>1</v>
      </c>
    </row>
    <row r="15" spans="2:12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  <c r="L15" s="2">
        <f>COUNTIF('2.2 P&amp;L statement'!$B$4:$B$24,'2.1 Database'!J15)</f>
        <v>1</v>
      </c>
    </row>
    <row r="16" spans="2:12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  <c r="L16" s="2">
        <f>COUNTIF('2.2 P&amp;L statement'!$B$4:$B$24,'2.1 Database'!J16)</f>
        <v>1</v>
      </c>
    </row>
    <row r="17" spans="2:12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  <c r="L17" s="2">
        <f>COUNTIF('2.2 P&amp;L statement'!$B$4:$B$24,'2.1 Database'!J17)</f>
        <v>1</v>
      </c>
    </row>
    <row r="18" spans="2:12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  <c r="L18" s="2">
        <f>COUNTIF('2.2 P&amp;L statement'!$B$4:$B$24,'2.1 Database'!J18)</f>
        <v>1</v>
      </c>
    </row>
    <row r="19" spans="2:12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  <c r="L19" s="2">
        <f>COUNTIF('2.2 P&amp;L statement'!$B$4:$B$24,'2.1 Database'!J19)</f>
        <v>1</v>
      </c>
    </row>
    <row r="20" spans="2:12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  <c r="L20" s="2">
        <f>COUNTIF('2.2 P&amp;L statement'!$B$4:$B$24,'2.1 Database'!J20)</f>
        <v>1</v>
      </c>
    </row>
    <row r="21" spans="2:12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  <c r="L21" s="2">
        <f>COUNTIF('2.2 P&amp;L statement'!$B$4:$B$24,'2.1 Database'!J21)</f>
        <v>1</v>
      </c>
    </row>
    <row r="22" spans="2:12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  <c r="L22" s="2">
        <f>COUNTIF('2.2 P&amp;L statement'!$B$4:$B$24,'2.1 Database'!J22)</f>
        <v>1</v>
      </c>
    </row>
    <row r="23" spans="2:12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  <c r="L23" s="2">
        <f>COUNTIF('2.2 P&amp;L statement'!$B$4:$B$24,'2.1 Database'!J23)</f>
        <v>1</v>
      </c>
    </row>
    <row r="24" spans="2:12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  <c r="L24" s="2">
        <f>COUNTIF('2.2 P&amp;L statement'!$B$4:$B$24,'2.1 Database'!J24)</f>
        <v>1</v>
      </c>
    </row>
    <row r="25" spans="2:12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  <c r="L25" s="2">
        <f>COUNTIF('2.2 P&amp;L statement'!$B$4:$B$24,'2.1 Database'!J25)</f>
        <v>1</v>
      </c>
    </row>
    <row r="26" spans="2:12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  <c r="L26" s="2">
        <f>COUNTIF('2.2 P&amp;L statement'!$B$4:$B$24,'2.1 Database'!J26)</f>
        <v>1</v>
      </c>
    </row>
    <row r="27" spans="2:12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  <c r="L27" s="2">
        <f>COUNTIF('2.2 P&amp;L statement'!$B$4:$B$24,'2.1 Database'!J27)</f>
        <v>1</v>
      </c>
    </row>
    <row r="28" spans="2:12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  <c r="L28" s="2">
        <f>COUNTIF('2.2 P&amp;L statement'!$B$4:$B$24,'2.1 Database'!J28)</f>
        <v>1</v>
      </c>
    </row>
    <row r="29" spans="2:12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  <c r="L29" s="2">
        <f>COUNTIF('2.2 P&amp;L statement'!$B$4:$B$24,'2.1 Database'!J29)</f>
        <v>1</v>
      </c>
    </row>
    <row r="30" spans="2:12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  <c r="L30" s="2">
        <f>COUNTIF('2.2 P&amp;L statement'!$B$4:$B$24,'2.1 Database'!J30)</f>
        <v>1</v>
      </c>
    </row>
    <row r="31" spans="2:12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  <c r="L31" s="2">
        <f>COUNTIF('2.2 P&amp;L statement'!$B$4:$B$24,'2.1 Database'!J31)</f>
        <v>1</v>
      </c>
    </row>
    <row r="32" spans="2:12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  <c r="L32" s="2">
        <f>COUNTIF('2.2 P&amp;L statement'!$B$4:$B$24,'2.1 Database'!J32)</f>
        <v>1</v>
      </c>
    </row>
    <row r="33" spans="2:12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  <c r="L33" s="2">
        <f>COUNTIF('2.2 P&amp;L statement'!$B$4:$B$24,'2.1 Database'!J33)</f>
        <v>1</v>
      </c>
    </row>
    <row r="34" spans="2:12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  <c r="L34" s="2">
        <f>COUNTIF('2.2 P&amp;L statement'!$B$4:$B$24,'2.1 Database'!J34)</f>
        <v>1</v>
      </c>
    </row>
    <row r="35" spans="2:12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  <c r="L35" s="2">
        <f>COUNTIF('2.2 P&amp;L statement'!$B$4:$B$24,'2.1 Database'!J35)</f>
        <v>1</v>
      </c>
    </row>
    <row r="36" spans="2:12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  <c r="L36" s="2">
        <f>COUNTIF('2.2 P&amp;L statement'!$B$4:$B$24,'2.1 Database'!J36)</f>
        <v>1</v>
      </c>
    </row>
    <row r="37" spans="2:12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  <c r="L37" s="2">
        <f>COUNTIF('2.2 P&amp;L statement'!$B$4:$B$24,'2.1 Database'!J37)</f>
        <v>1</v>
      </c>
    </row>
    <row r="38" spans="2:12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  <c r="L38" s="2">
        <f>COUNTIF('2.2 P&amp;L statement'!$B$4:$B$24,'2.1 Database'!J38)</f>
        <v>1</v>
      </c>
    </row>
    <row r="39" spans="2:12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  <c r="L39" s="2">
        <f>COUNTIF('2.2 P&amp;L statement'!$B$4:$B$24,'2.1 Database'!J39)</f>
        <v>1</v>
      </c>
    </row>
    <row r="40" spans="2:12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  <c r="L40" s="2">
        <f>COUNTIF('2.2 P&amp;L statement'!$B$4:$B$24,'2.1 Database'!J40)</f>
        <v>1</v>
      </c>
    </row>
    <row r="41" spans="2:12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  <c r="L41" s="2">
        <f>COUNTIF('2.2 P&amp;L statement'!$B$4:$B$24,'2.1 Database'!J41)</f>
        <v>1</v>
      </c>
    </row>
    <row r="42" spans="2:12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  <c r="L42" s="2">
        <f>COUNTIF('2.2 P&amp;L statement'!$B$4:$B$24,'2.1 Database'!J42)</f>
        <v>1</v>
      </c>
    </row>
    <row r="43" spans="2:12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  <c r="L43" s="2">
        <f>COUNTIF('2.2 P&amp;L statement'!$B$4:$B$24,'2.1 Database'!J43)</f>
        <v>1</v>
      </c>
    </row>
    <row r="44" spans="2:12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  <c r="L44" s="2">
        <f>COUNTIF('2.2 P&amp;L statement'!$B$4:$B$24,'2.1 Database'!J44)</f>
        <v>1</v>
      </c>
    </row>
    <row r="45" spans="2:12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  <c r="L45" s="2">
        <f>COUNTIF('2.2 P&amp;L statement'!$B$4:$B$24,'2.1 Database'!J45)</f>
        <v>1</v>
      </c>
    </row>
    <row r="46" spans="2:12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  <c r="L46" s="2">
        <f>COUNTIF('2.2 P&amp;L statement'!$B$4:$B$24,'2.1 Database'!J46)</f>
        <v>0</v>
      </c>
    </row>
    <row r="47" spans="2:12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  <c r="L47" s="2">
        <f>COUNTIF('2.2 P&amp;L statement'!$B$4:$B$24,'2.1 Database'!J47)</f>
        <v>0</v>
      </c>
    </row>
    <row r="48" spans="2:12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  <c r="L48" s="2">
        <f>COUNTIF('2.2 P&amp;L statement'!$B$4:$B$24,'2.1 Database'!J48)</f>
        <v>0</v>
      </c>
    </row>
    <row r="49" spans="2:12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  <c r="L49" s="2">
        <f>COUNTIF('2.2 P&amp;L statement'!$B$4:$B$24,'2.1 Database'!J49)</f>
        <v>1</v>
      </c>
    </row>
    <row r="50" spans="2:12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  <c r="L50" s="2">
        <f>COUNTIF('2.2 P&amp;L statement'!$B$4:$B$24,'2.1 Database'!J50)</f>
        <v>1</v>
      </c>
    </row>
    <row r="51" spans="2:12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  <c r="L51" s="2">
        <f>COUNTIF('2.2 P&amp;L statement'!$B$4:$B$24,'2.1 Database'!J51)</f>
        <v>1</v>
      </c>
    </row>
    <row r="52" spans="2:12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  <c r="L52" s="2">
        <f>COUNTIF('2.2 P&amp;L statement'!$B$4:$B$24,'2.1 Database'!J52)</f>
        <v>1</v>
      </c>
    </row>
    <row r="53" spans="2:12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  <c r="L53" s="2">
        <f>COUNTIF('2.2 P&amp;L statement'!$B$4:$B$24,'2.1 Database'!J53)</f>
        <v>1</v>
      </c>
    </row>
    <row r="54" spans="2:12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  <c r="L54" s="2">
        <f>COUNTIF('2.2 P&amp;L statement'!$B$4:$B$24,'2.1 Database'!J54)</f>
        <v>1</v>
      </c>
    </row>
    <row r="55" spans="2:12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  <c r="L55" s="2">
        <f>COUNTIF('2.2 P&amp;L statement'!$B$4:$B$24,'2.1 Database'!J55)</f>
        <v>1</v>
      </c>
    </row>
    <row r="56" spans="2:12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  <c r="L56" s="2">
        <f>COUNTIF('2.2 P&amp;L statement'!$B$4:$B$24,'2.1 Database'!J56)</f>
        <v>1</v>
      </c>
    </row>
    <row r="57" spans="2:12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  <c r="L57" s="2">
        <f>COUNTIF('2.2 P&amp;L statement'!$B$4:$B$24,'2.1 Database'!J57)</f>
        <v>1</v>
      </c>
    </row>
    <row r="58" spans="2:12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  <c r="L58" s="2">
        <f>COUNTIF('2.2 P&amp;L statement'!$B$4:$B$24,'2.1 Database'!J58)</f>
        <v>1</v>
      </c>
    </row>
    <row r="59" spans="2:12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  <c r="L59" s="2">
        <f>COUNTIF('2.2 P&amp;L statement'!$B$4:$B$24,'2.1 Database'!J59)</f>
        <v>1</v>
      </c>
    </row>
    <row r="60" spans="2:12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  <c r="L60" s="2">
        <f>COUNTIF('2.2 P&amp;L statement'!$B$4:$B$24,'2.1 Database'!J60)</f>
        <v>1</v>
      </c>
    </row>
    <row r="61" spans="2:12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  <c r="L61" s="2">
        <f>COUNTIF('2.2 P&amp;L statement'!$B$4:$B$24,'2.1 Database'!J61)</f>
        <v>1</v>
      </c>
    </row>
    <row r="62" spans="2:12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  <c r="L62" s="2">
        <f>COUNTIF('2.2 P&amp;L statement'!$B$4:$B$24,'2.1 Database'!J62)</f>
        <v>1</v>
      </c>
    </row>
    <row r="63" spans="2:12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  <c r="L63" s="2">
        <f>COUNTIF('2.2 P&amp;L statement'!$B$4:$B$24,'2.1 Database'!J63)</f>
        <v>1</v>
      </c>
    </row>
    <row r="64" spans="2:12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  <c r="L64" s="2">
        <f>COUNTIF('2.2 P&amp;L statement'!$B$4:$B$24,'2.1 Database'!J64)</f>
        <v>1</v>
      </c>
    </row>
    <row r="65" spans="2:12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  <c r="L65" s="2">
        <f>COUNTIF('2.2 P&amp;L statement'!$B$4:$B$24,'2.1 Database'!J65)</f>
        <v>1</v>
      </c>
    </row>
    <row r="66" spans="2:12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  <c r="L66" s="2">
        <f>COUNTIF('2.2 P&amp;L statement'!$B$4:$B$24,'2.1 Database'!J66)</f>
        <v>1</v>
      </c>
    </row>
    <row r="67" spans="2:12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  <c r="L67" s="2">
        <f>COUNTIF('2.2 P&amp;L statement'!$B$4:$B$24,'2.1 Database'!J67)</f>
        <v>1</v>
      </c>
    </row>
    <row r="68" spans="2:12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  <c r="L68" s="2">
        <f>COUNTIF('2.2 P&amp;L statement'!$B$4:$B$24,'2.1 Database'!J68)</f>
        <v>1</v>
      </c>
    </row>
    <row r="69" spans="2:12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  <c r="L69" s="2">
        <f>COUNTIF('2.2 P&amp;L statement'!$B$4:$B$24,'2.1 Database'!J69)</f>
        <v>1</v>
      </c>
    </row>
    <row r="70" spans="2:12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  <c r="L70" s="2">
        <f>COUNTIF('2.2 P&amp;L statement'!$B$4:$B$24,'2.1 Database'!J70)</f>
        <v>1</v>
      </c>
    </row>
    <row r="71" spans="2:12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  <c r="L71" s="2">
        <f>COUNTIF('2.2 P&amp;L statement'!$B$4:$B$24,'2.1 Database'!J71)</f>
        <v>1</v>
      </c>
    </row>
    <row r="72" spans="2:12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  <c r="L72" s="2">
        <f>COUNTIF('2.2 P&amp;L statement'!$B$4:$B$24,'2.1 Database'!J72)</f>
        <v>1</v>
      </c>
    </row>
    <row r="73" spans="2:12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  <c r="L73" s="2">
        <f>COUNTIF('2.2 P&amp;L statement'!$B$4:$B$24,'2.1 Database'!J73)</f>
        <v>1</v>
      </c>
    </row>
    <row r="74" spans="2:12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  <c r="L74" s="2">
        <f>COUNTIF('2.2 P&amp;L statement'!$B$4:$B$24,'2.1 Database'!J74)</f>
        <v>1</v>
      </c>
    </row>
    <row r="75" spans="2:12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  <c r="L75" s="2">
        <f>COUNTIF('2.2 P&amp;L statement'!$B$4:$B$24,'2.1 Database'!J75)</f>
        <v>1</v>
      </c>
    </row>
    <row r="76" spans="2:12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  <c r="L76" s="2">
        <f>COUNTIF('2.2 P&amp;L statement'!$B$4:$B$24,'2.1 Database'!J76)</f>
        <v>1</v>
      </c>
    </row>
    <row r="77" spans="2:12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  <c r="L77" s="2">
        <f>COUNTIF('2.2 P&amp;L statement'!$B$4:$B$24,'2.1 Database'!J77)</f>
        <v>1</v>
      </c>
    </row>
    <row r="78" spans="2:12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  <c r="L78" s="2">
        <f>COUNTIF('2.2 P&amp;L statement'!$B$4:$B$24,'2.1 Database'!J78)</f>
        <v>0</v>
      </c>
    </row>
    <row r="79" spans="2:12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  <c r="L79" s="2">
        <f>COUNTIF('2.2 P&amp;L statement'!$B$4:$B$24,'2.1 Database'!J79)</f>
        <v>1</v>
      </c>
    </row>
    <row r="80" spans="2:12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  <c r="L80" s="2">
        <f>COUNTIF('2.2 P&amp;L statement'!$B$4:$B$24,'2.1 Database'!J80)</f>
        <v>1</v>
      </c>
    </row>
    <row r="81" spans="2:12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  <c r="L81" s="2">
        <f>COUNTIF('2.2 P&amp;L statement'!$B$4:$B$24,'2.1 Database'!J81)</f>
        <v>1</v>
      </c>
    </row>
    <row r="82" spans="2:12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  <c r="L82" s="2">
        <f>COUNTIF('2.2 P&amp;L statement'!$B$4:$B$24,'2.1 Database'!J82)</f>
        <v>1</v>
      </c>
    </row>
    <row r="83" spans="2:12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  <c r="L83" s="2">
        <f>COUNTIF('2.2 P&amp;L statement'!$B$4:$B$24,'2.1 Database'!J83)</f>
        <v>1</v>
      </c>
    </row>
    <row r="84" spans="2:12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  <c r="L84" s="2">
        <f>COUNTIF('2.2 P&amp;L statement'!$B$4:$B$24,'2.1 Database'!J84)</f>
        <v>1</v>
      </c>
    </row>
    <row r="85" spans="2:12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  <c r="L85" s="2">
        <f>COUNTIF('2.2 P&amp;L statement'!$B$4:$B$24,'2.1 Database'!J85)</f>
        <v>1</v>
      </c>
    </row>
    <row r="86" spans="2:12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  <c r="L86" s="2">
        <f>COUNTIF('2.2 P&amp;L statement'!$B$4:$B$24,'2.1 Database'!J86)</f>
        <v>1</v>
      </c>
    </row>
    <row r="87" spans="2:12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  <c r="L87" s="2">
        <f>COUNTIF('2.2 P&amp;L statement'!$B$4:$B$24,'2.1 Database'!J87)</f>
        <v>0</v>
      </c>
    </row>
    <row r="88" spans="2:12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  <c r="L88" s="2">
        <f>COUNTIF('2.2 P&amp;L statement'!$B$4:$B$24,'2.1 Database'!J88)</f>
        <v>1</v>
      </c>
    </row>
    <row r="89" spans="2:12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  <c r="L89" s="2">
        <f>COUNTIF('2.2 P&amp;L statement'!$B$4:$B$24,'2.1 Database'!J89)</f>
        <v>1</v>
      </c>
    </row>
    <row r="90" spans="2:12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  <c r="L90" s="2">
        <f>COUNTIF('2.2 P&amp;L statement'!$B$4:$B$24,'2.1 Database'!J90)</f>
        <v>1</v>
      </c>
    </row>
    <row r="91" spans="2:12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  <c r="L91" s="2">
        <f>COUNTIF('2.2 P&amp;L statement'!$B$4:$B$24,'2.1 Database'!J91)</f>
        <v>1</v>
      </c>
    </row>
    <row r="92" spans="2:12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  <c r="L92" s="2">
        <f>COUNTIF('2.2 P&amp;L statement'!$B$4:$B$24,'2.1 Database'!J92)</f>
        <v>1</v>
      </c>
    </row>
    <row r="93" spans="2:12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  <c r="L93" s="2">
        <f>COUNTIF('2.2 P&amp;L statement'!$B$4:$B$24,'2.1 Database'!J93)</f>
        <v>0</v>
      </c>
    </row>
    <row r="94" spans="2:12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  <c r="L94" s="2">
        <f>COUNTIF('2.2 P&amp;L statement'!$B$4:$B$24,'2.1 Database'!J94)</f>
        <v>1</v>
      </c>
    </row>
    <row r="95" spans="2:12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  <c r="L95" s="2">
        <f>COUNTIF('2.2 P&amp;L statement'!$B$4:$B$24,'2.1 Database'!J95)</f>
        <v>1</v>
      </c>
    </row>
    <row r="96" spans="2:12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  <c r="L96" s="2">
        <f>COUNTIF('2.2 P&amp;L statement'!$B$4:$B$24,'2.1 Database'!J96)</f>
        <v>1</v>
      </c>
    </row>
    <row r="97" spans="2:12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  <c r="L97" s="2">
        <f>COUNTIF('2.2 P&amp;L statement'!$B$4:$B$24,'2.1 Database'!J97)</f>
        <v>1</v>
      </c>
    </row>
    <row r="98" spans="2:12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  <c r="L98" s="2">
        <f>COUNTIF('2.2 P&amp;L statement'!$B$4:$B$24,'2.1 Database'!J98)</f>
        <v>1</v>
      </c>
    </row>
    <row r="99" spans="2:12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  <c r="L99" s="2">
        <f>COUNTIF('2.2 P&amp;L statement'!$B$4:$B$24,'2.1 Database'!J99)</f>
        <v>1</v>
      </c>
    </row>
    <row r="100" spans="2:12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  <c r="L100" s="2">
        <f>COUNTIF('2.2 P&amp;L statement'!$B$4:$B$24,'2.1 Database'!J100)</f>
        <v>1</v>
      </c>
    </row>
    <row r="101" spans="2:12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  <c r="L101" s="2">
        <f>COUNTIF('2.2 P&amp;L statement'!$B$4:$B$24,'2.1 Database'!J101)</f>
        <v>1</v>
      </c>
    </row>
    <row r="102" spans="2:12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  <c r="L102" s="2">
        <f>COUNTIF('2.2 P&amp;L statement'!$B$4:$B$24,'2.1 Database'!J102)</f>
        <v>1</v>
      </c>
    </row>
    <row r="103" spans="2:12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  <c r="L103" s="2">
        <f>COUNTIF('2.2 P&amp;L statement'!$B$4:$B$24,'2.1 Database'!J103)</f>
        <v>1</v>
      </c>
    </row>
    <row r="104" spans="2:12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  <c r="L104" s="2">
        <f>COUNTIF('2.2 P&amp;L statement'!$B$4:$B$24,'2.1 Database'!J104)</f>
        <v>1</v>
      </c>
    </row>
    <row r="105" spans="2:12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  <c r="L105" s="2">
        <f>COUNTIF('2.2 P&amp;L statement'!$B$4:$B$24,'2.1 Database'!J105)</f>
        <v>1</v>
      </c>
    </row>
    <row r="106" spans="2:12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  <c r="L106" s="2">
        <f>COUNTIF('2.2 P&amp;L statement'!$B$4:$B$24,'2.1 Database'!J106)</f>
        <v>1</v>
      </c>
    </row>
    <row r="107" spans="2:12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  <c r="L107" s="2">
        <f>COUNTIF('2.2 P&amp;L statement'!$B$4:$B$24,'2.1 Database'!J107)</f>
        <v>0</v>
      </c>
    </row>
    <row r="108" spans="2:12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  <c r="L108" s="2">
        <f>COUNTIF('2.2 P&amp;L statement'!$B$4:$B$24,'2.1 Database'!J108)</f>
        <v>0</v>
      </c>
    </row>
    <row r="109" spans="2:12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  <c r="K109" s="2" t="s">
        <v>224</v>
      </c>
      <c r="L109" s="2" t="s">
        <v>224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J35"/>
  <sheetViews>
    <sheetView tabSelected="1" zoomScale="120" zoomScaleNormal="120" workbookViewId="0">
      <selection activeCell="B1" sqref="B1"/>
    </sheetView>
  </sheetViews>
  <sheetFormatPr defaultRowHeight="11.4" outlineLevelRow="1" x14ac:dyDescent="0.2"/>
  <cols>
    <col min="1" max="1" width="2" style="33" customWidth="1"/>
    <col min="2" max="2" width="20" style="33" bestFit="1" customWidth="1"/>
    <col min="3" max="5" width="8.88671875" style="33"/>
    <col min="6" max="6" width="2" style="33" customWidth="1"/>
    <col min="7" max="16384" width="8.88671875" style="33"/>
  </cols>
  <sheetData>
    <row r="1" spans="2:10" ht="15.6" x14ac:dyDescent="0.3">
      <c r="B1" s="34" t="s">
        <v>238</v>
      </c>
    </row>
    <row r="3" spans="2:10" ht="36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  <c r="G3" s="43" t="s">
        <v>248</v>
      </c>
      <c r="H3" s="43" t="s">
        <v>249</v>
      </c>
      <c r="J3" s="33" t="s">
        <v>247</v>
      </c>
    </row>
    <row r="4" spans="2:10" x14ac:dyDescent="0.2">
      <c r="B4" s="33" t="s">
        <v>226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  <c r="J4" s="33" t="s">
        <v>250</v>
      </c>
    </row>
    <row r="5" spans="2:10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4">
        <f t="shared" ref="G5:G24" si="0">+IF(ISERROR((D5/C5)-1),"n.a.",IF(((D5/C5)-1)&gt;1,"&gt;100.0%",IF(((D5/C5)-1)&lt;-1,"&lt;-100.0%",((D5/C5)-1))))</f>
        <v>0.45160091696030569</v>
      </c>
      <c r="H5" s="44">
        <f t="shared" ref="H5:H24" si="1">+IF(ISERROR((E5/D5)-1),"n.a.",IF(((E5/D5)-1)&gt;1,"&gt;100.0%",IF(((E5/D5)-1)&lt;-1,"&lt;-100.0%",((E5/D5)-1))))</f>
        <v>-8.4278992542911935E-2</v>
      </c>
    </row>
    <row r="6" spans="2:10" x14ac:dyDescent="0.2">
      <c r="B6" s="33" t="s">
        <v>229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4">
        <f t="shared" si="0"/>
        <v>-9.1912195832158816E-2</v>
      </c>
      <c r="H6" s="44">
        <f t="shared" si="1"/>
        <v>0.67340074743441836</v>
      </c>
    </row>
    <row r="7" spans="2:10" ht="12" x14ac:dyDescent="0.25">
      <c r="B7" s="35" t="s">
        <v>239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5">
        <f t="shared" si="0"/>
        <v>0.15622093183140207</v>
      </c>
      <c r="H7" s="45">
        <f t="shared" si="1"/>
        <v>1.0832310402506318E-2</v>
      </c>
    </row>
    <row r="8" spans="2:10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2:10" ht="12" x14ac:dyDescent="0.25">
      <c r="B9" s="35" t="s">
        <v>240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2:10" x14ac:dyDescent="0.2">
      <c r="B10" s="33" t="s">
        <v>227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2:10" x14ac:dyDescent="0.2">
      <c r="B11" s="33" t="s">
        <v>228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2:10" x14ac:dyDescent="0.2">
      <c r="B12" s="33" t="s">
        <v>230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2:10" x14ac:dyDescent="0.2">
      <c r="B13" s="33" t="s">
        <v>231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2:10" x14ac:dyDescent="0.2">
      <c r="B14" s="33" t="s">
        <v>232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2:10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2:10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2:8" ht="12" x14ac:dyDescent="0.25">
      <c r="B17" s="36" t="s">
        <v>241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4">
        <f t="shared" si="0"/>
        <v>-6.0515972378227811E-4</v>
      </c>
      <c r="H18" s="44">
        <f t="shared" si="1"/>
        <v>-7.6146701666795491E-2</v>
      </c>
    </row>
    <row r="19" spans="2:8" ht="12" x14ac:dyDescent="0.25">
      <c r="B19" s="35" t="s">
        <v>242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2:8" x14ac:dyDescent="0.2">
      <c r="B20" s="33" t="s">
        <v>233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2:8" x14ac:dyDescent="0.2">
      <c r="B21" s="33" t="s">
        <v>234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2:8" ht="12" x14ac:dyDescent="0.25">
      <c r="B22" s="35" t="s">
        <v>243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2:8" x14ac:dyDescent="0.2">
      <c r="B23" s="33" t="s">
        <v>235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2:8" ht="12.6" thickBot="1" x14ac:dyDescent="0.3">
      <c r="B24" s="37" t="s">
        <v>236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5" spans="2:8" x14ac:dyDescent="0.2">
      <c r="B25" s="48"/>
      <c r="C25" s="52"/>
      <c r="D25" s="52"/>
      <c r="E25" s="52"/>
    </row>
    <row r="26" spans="2:8" x14ac:dyDescent="0.2">
      <c r="B26" s="49" t="s">
        <v>254</v>
      </c>
      <c r="C26" s="53"/>
      <c r="D26" s="53"/>
      <c r="E26" s="53"/>
    </row>
    <row r="27" spans="2:8" x14ac:dyDescent="0.2">
      <c r="B27" s="49" t="s">
        <v>251</v>
      </c>
      <c r="C27" s="50">
        <f>C9/C$7</f>
        <v>0.80329281353949789</v>
      </c>
      <c r="D27" s="50">
        <f t="shared" ref="D27:E27" si="2">D9/D$7</f>
        <v>0.79014052477841912</v>
      </c>
      <c r="E27" s="50">
        <f t="shared" si="2"/>
        <v>0.78437246085651935</v>
      </c>
    </row>
    <row r="28" spans="2:8" x14ac:dyDescent="0.2">
      <c r="B28" s="49" t="s">
        <v>252</v>
      </c>
      <c r="C28" s="50">
        <f>C17/C$7</f>
        <v>0.36878477758296191</v>
      </c>
      <c r="D28" s="50">
        <f t="shared" ref="D28:E28" si="3">D17/D$7</f>
        <v>0.16301696811306118</v>
      </c>
      <c r="E28" s="50">
        <f t="shared" si="3"/>
        <v>0.20104802619916018</v>
      </c>
    </row>
    <row r="29" spans="2:8" x14ac:dyDescent="0.2">
      <c r="B29" s="51" t="s">
        <v>253</v>
      </c>
      <c r="C29" s="50">
        <f>C19/C$7</f>
        <v>0.2779466397506159</v>
      </c>
      <c r="D29" s="50">
        <f t="shared" ref="D29:E29" si="4">D19/D$7</f>
        <v>8.4499823378317393E-2</v>
      </c>
      <c r="E29" s="50">
        <f t="shared" si="4"/>
        <v>0.12928704033394345</v>
      </c>
    </row>
    <row r="30" spans="2:8" hidden="1" outlineLevel="1" x14ac:dyDescent="0.2">
      <c r="B30" s="38" t="s">
        <v>245</v>
      </c>
      <c r="C30" s="38">
        <f>SUMIF('2.1 Database'!$J:$J,'2.2 P&amp;L statement'!$B30,'2.1 Database'!F:F)/1000000</f>
        <v>-2.9041179939999986</v>
      </c>
      <c r="D30" s="38">
        <f>SUMIF('2.1 Database'!$J:$J,'2.2 P&amp;L statement'!$B30,'2.1 Database'!G:G)/1000000</f>
        <v>6.0738081600000005</v>
      </c>
      <c r="E30" s="38">
        <f>SUMIF('2.1 Database'!$J:$J,'2.2 P&amp;L statement'!$B30,'2.1 Database'!H:H)/1000000</f>
        <v>-0.77929047600000001</v>
      </c>
    </row>
    <row r="31" spans="2:8" hidden="1" outlineLevel="1" x14ac:dyDescent="0.2">
      <c r="B31" s="42" t="s">
        <v>246</v>
      </c>
      <c r="C31" s="42">
        <f>ROUND(C24+C30,9)</f>
        <v>0</v>
      </c>
      <c r="D31" s="42">
        <f>D24+D30</f>
        <v>0</v>
      </c>
      <c r="E31" s="42">
        <f>E24+E30</f>
        <v>0</v>
      </c>
    </row>
    <row r="32" spans="2:8" collapsed="1" x14ac:dyDescent="0.2">
      <c r="B32" s="38"/>
      <c r="C32" s="38"/>
      <c r="D32" s="38"/>
      <c r="E32" s="38"/>
    </row>
    <row r="33" spans="2:5" x14ac:dyDescent="0.2">
      <c r="B33" s="38"/>
      <c r="C33" s="38"/>
      <c r="D33" s="38"/>
      <c r="E33" s="38"/>
    </row>
    <row r="34" spans="2:5" x14ac:dyDescent="0.2">
      <c r="B34" s="38"/>
      <c r="C34" s="38"/>
      <c r="D34" s="38"/>
      <c r="E34" s="38"/>
    </row>
    <row r="35" spans="2:5" x14ac:dyDescent="0.2">
      <c r="C35" s="38"/>
      <c r="D35" s="38"/>
      <c r="E35" s="3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2019-02-07T17:05:18Z</dcterms:modified>
</cp:coreProperties>
</file>