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13_ncr:1_{9EFE5C16-B863-49FA-8AFA-5786C10BA45C}" xr6:coauthVersionLast="40" xr6:coauthVersionMax="40" xr10:uidLastSave="{00000000-0000-0000-0000-000000000000}"/>
  <bookViews>
    <workbookView xWindow="-108" yWindow="-108" windowWidth="23256" windowHeight="13176" firstSheet="3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21" l="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<sst xmlns="http://schemas.openxmlformats.org/spreadsheetml/2006/main" count="925" uniqueCount="240">
  <si>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</si>
  <si>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</si>
  <si>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</si>
  <si>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</si>
  <si>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</si>
  <si>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</si>
  <si>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</si>
  <si>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</si>
  <si>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</si>
  <si>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</si>
  <si>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</si>
  <si>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</si>
  <si>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</si>
  <si>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</si>
  <si>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</si>
  <si>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</si>
  <si>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</si>
  <si>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</si>
  <si>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</si>
  <si>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</si>
  <si>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</si>
  <si>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</si>
  <si>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</si>
  <si>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</si>
  <si>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</si>
  <si>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</si>
  <si>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</si>
  <si>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</si>
  <si>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</si>
  <si>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</si>
  <si>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</si>
  <si>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</si>
  <si>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</si>
  <si>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</si>
  <si>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</si>
  <si>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</si>
  <si>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</si>
  <si>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</si>
  <si>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</si>
  <si>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</si>
  <si>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</si>
  <si>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</si>
  <si>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</si>
  <si>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</si>
  <si>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</si>
  <si>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</si>
  <si>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</si>
  <si>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</si>
  <si>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</si>
  <si>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</si>
  <si>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</si>
  <si>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</si>
  <si>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</si>
  <si>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</si>
  <si>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</si>
  <si>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</si>
  <si>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</si>
  <si>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</si>
  <si>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</si>
  <si>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</si>
  <si>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</si>
  <si>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</si>
  <si>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</si>
  <si>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</si>
  <si>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</si>
  <si>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</si>
  <si>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</si>
  <si>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</si>
  <si>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</si>
  <si>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</si>
  <si>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</si>
  <si>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</si>
  <si>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</si>
  <si>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</si>
  <si>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</si>
  <si>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</si>
  <si>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</si>
  <si>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</si>
  <si>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</si>
  <si>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</si>
  <si>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</si>
  <si>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</si>
  <si>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</si>
  <si>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</si>
  <si>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</si>
  <si>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</si>
  <si>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</si>
  <si>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</si>
  <si>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</si>
  <si>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</si>
  <si>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</si>
  <si>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</si>
  <si>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</si>
  <si>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</si>
  <si>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</si>
  <si>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</si>
  <si>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</si>
  <si>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</si>
  <si>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</si>
  <si>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</si>
  <si>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</si>
  <si>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</si>
  <si>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</si>
  <si>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</si>
  <si>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</si>
  <si>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</si>
  <si>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</si>
  <si>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</si>
  <si>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</si>
  <si>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</si>
  <si>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</si>
  <si>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</si>
  <si>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</si>
  <si>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</si>
  <si>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</si>
  <si>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</si>
  <si>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</si>
  <si>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</si>
  <si>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</si>
  <si>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</si>
  <si>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</si>
  <si>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</si>
  <si>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</si>
  <si>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</si>
  <si>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</si>
  <si>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</si>
  <si>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</si>
  <si>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</si>
  <si>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</si>
  <si>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</si>
  <si>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</si>
  <si>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</si>
  <si>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</si>
  <si>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</si>
  <si>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</si>
  <si>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</si>
  <si>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</si>
  <si>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</si>
  <si>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</si>
  <si>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</si>
  <si>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</si>
  <si>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</si>
  <si>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</si>
  <si>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</si>
  <si>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</si>
  <si>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</si>
  <si>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</si>
  <si>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</si>
  <si>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</si>
  <si>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</si>
  <si>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</si>
  <si>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</si>
  <si>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</si>
  <si>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</si>
  <si>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</si>
  <si>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</si>
  <si>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</si>
  <si>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</si>
  <si>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</si>
  <si>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</si>
  <si>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</si>
  <si>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</si>
  <si>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</si>
  <si>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</si>
  <si>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</si>
  <si>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</si>
  <si>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</si>
  <si>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</si>
  <si>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</si>
  <si>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</si>
  <si>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</si>
  <si>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</si>
  <si>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</si>
  <si>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</si>
  <si>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</si>
  <si>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</si>
  <si>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</si>
  <si>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</si>
  <si>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</si>
  <si>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</si>
  <si>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</si>
  <si>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</si>
  <si>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</si>
  <si>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</si>
  <si>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</si>
  <si>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</si>
  <si>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</si>
  <si>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</si>
  <si>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</si>
  <si>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</si>
  <si>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</si>
  <si>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</si>
  <si>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</si>
  <si>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</si>
  <si>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</si>
  <si>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</si>
  <si>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</si>
  <si>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</si>
  <si>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</si>
  <si>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</si>
  <si>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</si>
  <si>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</si>
  <si>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</si>
  <si>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</si>
  <si>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</si>
  <si>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</si>
  <si>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</si>
  <si>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</si>
  <si>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</si>
  <si>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</si>
  <si>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</si>
  <si>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</si>
  <si>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</si>
  <si>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</si>
  <si>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</si>
  <si>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</si>
  <si>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</si>
  <si>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</si>
  <si>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</si>
  <si>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</si>
  <si>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</si>
  <si>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</si>
  <si>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</si>
  <si>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</si>
  <si>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</si>
  <si>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</si>
  <si>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</si>
  <si>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</si>
  <si>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</si>
  <si>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</si>
  <si>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</si>
  <si>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</si>
  <si>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</si>
  <si>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</si>
  <si>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</si>
  <si>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</si>
  <si>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</si>
  <si>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</si>
  <si>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EUR in millions</t>
  </si>
  <si>
    <t>FY16 - 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</si>
</sst>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166" fontId="1" fillId="2" borderId="0" xfId="0" applyNumberFormat="1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22" sqref="C22"/>
    </sheetView>
  </sheetViews>
  <sheetFormatPr defaultColWidth="9.109375" defaultRowHeight="11.4" x14ac:dyDescent="0.2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112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workbookViewId="0"/>
  </sheetViews>
  <sheetFormatPr defaultColWidth="9.109375" defaultRowHeight="11.4" x14ac:dyDescent="0.2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C4"/>
  <sheetViews>
    <sheetView tabSelected="1" zoomScale="120" zoomScaleNormal="120" workbookViewId="0">
      <selection activeCell="C4" sqref="C4"/>
    </sheetView>
  </sheetViews>
  <sheetFormatPr defaultRowHeight="11.4" x14ac:dyDescent="0.2"/>
  <cols>
    <col min="1" max="1" width="2" style="33" customWidth="1"/>
    <col min="2" max="2" width="20" style="33" bestFit="1" customWidth="1"/>
    <col min="3" max="3" width="10.44140625" style="33" bestFit="1" customWidth="1"/>
    <col min="4" max="16384" width="8.88671875" style="33"/>
  </cols>
  <sheetData>
    <row r="1" spans="2:3" ht="15.6" x14ac:dyDescent="0.3">
      <c r="B1" s="34" t="s">
        <v>237</v>
      </c>
    </row>
    <row r="3" spans="2:3" ht="12.6" thickBot="1" x14ac:dyDescent="0.3">
      <c r="B3" s="30" t="s">
        <v>238</v>
      </c>
      <c r="C3" s="31" t="s">
        <v>239</v>
      </c>
    </row>
    <row r="4" spans="2:3" x14ac:dyDescent="0.2">
      <c r="B4" s="33" t="s">
        <v>225</v>
      </c>
      <c r="C4" s="35">
        <f>IFERROR(SUMIF('2.1 Database'!$J:$J,'2.2 P&amp;L statement'!$B4,'2.1 Database'!F:F)/1000000,0)+IFERROR(SUMIF('2.1 Database'!$J:$J,'2.2 P&amp;L statement'!$B4,'2.1 Database'!G:G)/1000000,0)+IFERROR(SUMIF('2.1 Database'!$J:$J,'2.2 P&amp;L statement'!$B4,'2.1 Database'!H:H)/1000000,0)</f>
        <v>45.696439384000001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2019-02-09T10:21:29Z</dcterms:modified>
</cp:coreProperties>
</file>