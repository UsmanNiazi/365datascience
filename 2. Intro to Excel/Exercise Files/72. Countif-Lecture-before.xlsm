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8_{A4FC4C19-F16B-4CC0-9A7A-BB6F5FC3C655}" xr6:coauthVersionLast="40" xr6:coauthVersionMax="40" xr10:uidLastSave="{00000000-0000-0000-0000-000000000000}"/>
  <bookViews>
    <workbookView xWindow="-108" yWindow="-108" windowWidth="23256" windowHeight="131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E27" i="21" s="1"/>
  <c r="G60" i="10"/>
  <c r="D27" i="21" s="1"/>
  <c r="F60" i="10"/>
  <c r="C27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E23" i="21" s="1"/>
  <c r="H56" i="10"/>
  <c r="H55" i="10"/>
  <c r="E21" i="21" s="1"/>
  <c r="H54" i="10"/>
  <c r="H53" i="10"/>
  <c r="H52" i="10"/>
  <c r="H51" i="10"/>
  <c r="H50" i="10"/>
  <c r="H49" i="10"/>
  <c r="E20" i="21" s="1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E13" i="21" s="1"/>
  <c r="H33" i="10"/>
  <c r="E12" i="21" s="1"/>
  <c r="H32" i="10"/>
  <c r="H31" i="10"/>
  <c r="H30" i="10"/>
  <c r="H29" i="10"/>
  <c r="E15" i="21" s="1"/>
  <c r="H28" i="10"/>
  <c r="H27" i="10"/>
  <c r="H26" i="10"/>
  <c r="H25" i="10"/>
  <c r="H24" i="10"/>
  <c r="H23" i="10"/>
  <c r="H22" i="10"/>
  <c r="H21" i="10"/>
  <c r="H20" i="10"/>
  <c r="H19" i="10"/>
  <c r="H18" i="10"/>
  <c r="E18" i="21" s="1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D23" i="21" s="1"/>
  <c r="G56" i="10"/>
  <c r="G55" i="10"/>
  <c r="D21" i="21" s="1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D15" i="21" s="1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C13" i="21" s="1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C18" i="21" s="1"/>
  <c r="F17" i="10"/>
  <c r="F16" i="10"/>
  <c r="F15" i="10"/>
  <c r="F14" i="10"/>
  <c r="C11" i="21" s="1"/>
  <c r="F13" i="10"/>
  <c r="F12" i="10"/>
  <c r="F11" i="10"/>
  <c r="F10" i="10"/>
  <c r="C8" i="21" s="1"/>
  <c r="F9" i="10"/>
  <c r="F8" i="10"/>
  <c r="F7" i="10"/>
  <c r="F6" i="10"/>
  <c r="C16" i="21" s="1"/>
  <c r="F5" i="10"/>
  <c r="C5" i="21" s="1"/>
  <c r="F4" i="10"/>
  <c r="C4" i="21" s="1"/>
  <c r="D20" i="21" l="1"/>
  <c r="C12" i="21"/>
  <c r="C20" i="21"/>
  <c r="C23" i="21"/>
  <c r="D18" i="21"/>
  <c r="D13" i="21"/>
  <c r="E10" i="21"/>
  <c r="D10" i="21"/>
  <c r="E6" i="21"/>
  <c r="E7" i="21" s="1"/>
  <c r="E9" i="21" s="1"/>
  <c r="E17" i="21" s="1"/>
  <c r="E19" i="21" s="1"/>
  <c r="E22" i="21" s="1"/>
  <c r="E24" i="21" s="1"/>
  <c r="E28" i="21" s="1"/>
  <c r="C10" i="21"/>
  <c r="D6" i="21"/>
  <c r="D7" i="21" s="1"/>
  <c r="D9" i="21" s="1"/>
  <c r="D17" i="21" s="1"/>
  <c r="D19" i="21" s="1"/>
  <c r="D22" i="21" s="1"/>
  <c r="D24" i="21" s="1"/>
  <c r="D28" i="21" s="1"/>
  <c r="C7" i="21"/>
  <c r="C9" i="21" s="1"/>
  <c r="C17" i="21" s="1"/>
  <c r="C19" i="21" s="1"/>
  <c r="C22" i="21" s="1"/>
  <c r="C24" i="21" s="1"/>
  <c r="C28" i="21" s="1"/>
  <c r="C6" i="21"/>
  <c r="E16" i="21"/>
  <c r="E11" i="21"/>
  <c r="C15" i="21"/>
  <c r="D16" i="21"/>
  <c r="D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<sst xmlns="http://schemas.openxmlformats.org/spreadsheetml/2006/main" count="956" uniqueCount="247">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</sst>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G32"/>
  <sheetViews>
    <sheetView tabSelected="1" topLeftCell="A4" zoomScale="140" zoomScaleNormal="140" workbookViewId="0">
      <selection activeCell="C29" sqref="C29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</row>
    <row r="5" spans="2:5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</row>
    <row r="6" spans="2:5" x14ac:dyDescent="0.2">
      <c r="B6" s="33" t="s">
        <v>229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</row>
    <row r="7" spans="2:5" ht="12" x14ac:dyDescent="0.25">
      <c r="B7" s="35" t="s">
        <v>239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</row>
    <row r="8" spans="2:5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</row>
    <row r="9" spans="2:5" ht="12" x14ac:dyDescent="0.25">
      <c r="B9" s="35" t="s">
        <v>240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</row>
    <row r="10" spans="2:5" x14ac:dyDescent="0.2">
      <c r="B10" s="33" t="s">
        <v>227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</row>
    <row r="11" spans="2:5" x14ac:dyDescent="0.2">
      <c r="B11" s="33" t="s">
        <v>228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</row>
    <row r="12" spans="2:5" x14ac:dyDescent="0.2">
      <c r="B12" s="33" t="s">
        <v>230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</row>
    <row r="13" spans="2:5" x14ac:dyDescent="0.2">
      <c r="B13" s="33" t="s">
        <v>231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</row>
    <row r="14" spans="2:5" x14ac:dyDescent="0.2">
      <c r="B14" s="33" t="s">
        <v>232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</row>
    <row r="15" spans="2:5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</row>
    <row r="16" spans="2:5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</row>
    <row r="17" spans="2:7" ht="12" x14ac:dyDescent="0.25">
      <c r="B17" s="36" t="s">
        <v>241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</row>
    <row r="18" spans="2:7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</row>
    <row r="19" spans="2:7" ht="12" x14ac:dyDescent="0.25">
      <c r="B19" s="35" t="s">
        <v>242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</row>
    <row r="20" spans="2:7" x14ac:dyDescent="0.2">
      <c r="B20" s="33" t="s">
        <v>233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</row>
    <row r="21" spans="2:7" x14ac:dyDescent="0.2">
      <c r="B21" s="33" t="s">
        <v>234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</row>
    <row r="22" spans="2:7" ht="12" x14ac:dyDescent="0.25">
      <c r="B22" s="35" t="s">
        <v>243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</row>
    <row r="23" spans="2:7" x14ac:dyDescent="0.2">
      <c r="B23" s="33" t="s">
        <v>235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</row>
    <row r="24" spans="2:7" ht="12.6" thickBot="1" x14ac:dyDescent="0.3">
      <c r="B24" s="37" t="s">
        <v>236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</row>
    <row r="26" spans="2:7" x14ac:dyDescent="0.2">
      <c r="B26" s="38"/>
      <c r="C26" s="38"/>
      <c r="D26" s="38"/>
      <c r="E26" s="38"/>
      <c r="F26" s="38"/>
      <c r="G26" s="38"/>
    </row>
    <row r="27" spans="2:7" x14ac:dyDescent="0.2">
      <c r="B27" s="38" t="s">
        <v>245</v>
      </c>
      <c r="C27" s="38">
        <f>SUMIF('2.1 Database'!$J:$J,'2.2 P&amp;L statement'!$B27,'2.1 Database'!F:F)/1000000</f>
        <v>-2.9041179939999986</v>
      </c>
      <c r="D27" s="38">
        <f>SUMIF('2.1 Database'!$J:$J,'2.2 P&amp;L statement'!$B27,'2.1 Database'!G:G)/1000000</f>
        <v>6.0738081600000005</v>
      </c>
      <c r="E27" s="38">
        <f>SUMIF('2.1 Database'!$J:$J,'2.2 P&amp;L statement'!$B27,'2.1 Database'!H:H)/1000000</f>
        <v>-0.77929047600000001</v>
      </c>
      <c r="F27" s="38"/>
      <c r="G27" s="38"/>
    </row>
    <row r="28" spans="2:7" x14ac:dyDescent="0.2">
      <c r="B28" s="38" t="s">
        <v>246</v>
      </c>
      <c r="C28" s="38">
        <f>ROUND(C24+C27,9)</f>
        <v>0</v>
      </c>
      <c r="D28" s="38">
        <f>D24+D27</f>
        <v>0</v>
      </c>
      <c r="E28" s="38">
        <f>E24+E27</f>
        <v>0</v>
      </c>
      <c r="F28" s="38"/>
      <c r="G28" s="38"/>
    </row>
    <row r="29" spans="2:7" x14ac:dyDescent="0.2">
      <c r="B29" s="38"/>
      <c r="C29" s="38"/>
      <c r="D29" s="38"/>
      <c r="E29" s="38"/>
      <c r="F29" s="38"/>
      <c r="G29" s="38"/>
    </row>
    <row r="30" spans="2:7" x14ac:dyDescent="0.2">
      <c r="B30" s="38"/>
      <c r="C30" s="38"/>
      <c r="D30" s="38"/>
      <c r="E30" s="38"/>
      <c r="F30" s="38"/>
      <c r="G30" s="38"/>
    </row>
    <row r="31" spans="2:7" x14ac:dyDescent="0.2">
      <c r="B31" s="38"/>
      <c r="C31" s="38"/>
      <c r="D31" s="38"/>
      <c r="E31" s="38"/>
      <c r="F31" s="38"/>
      <c r="G31" s="38"/>
    </row>
    <row r="32" spans="2:7" x14ac:dyDescent="0.2">
      <c r="C32" s="38"/>
      <c r="D32" s="38"/>
      <c r="E32" s="38"/>
      <c r="F32" s="38"/>
      <c r="G32" s="38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2019-02-05T14:38:30Z</dcterms:modified>
</cp:coreProperties>
</file>